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430" documentId="11_92485C45C1F39E42E268565A893E8C18510380CC" xr6:coauthVersionLast="47" xr6:coauthVersionMax="47" xr10:uidLastSave="{B0E81E0C-EF2C-42F3-842A-ACB778DE7EE6}"/>
  <bookViews>
    <workbookView xWindow="240" yWindow="105" windowWidth="14805" windowHeight="8010" xr2:uid="{00000000-000D-0000-FFFF-FFFF00000000}"/>
  </bookViews>
  <sheets>
    <sheet name="Planilha1" sheetId="1" r:id="rId1"/>
    <sheet name="Planilha2" sheetId="2" r:id="rId2"/>
  </sheets>
  <definedNames>
    <definedName name="aporte">Planilha1!$D$10:$D$10</definedName>
    <definedName name="qtd_anos">Planilha1!$D$11:$D$11</definedName>
    <definedName name="rendimento_carteira">Planilha1!$D$6:$D$6</definedName>
    <definedName name="salario">Planilha1!$D$5:$D$5</definedName>
    <definedName name="sugestao_investimento">Planilha1!$D$7:$D$7</definedName>
    <definedName name="taxa_mensal">Planilha1!$D$12:$D$12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29" i="1"/>
  <c r="C30" i="1"/>
  <c r="C31" i="1"/>
  <c r="C32" i="1"/>
  <c r="C27" i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D28" i="1"/>
  <c r="D29" i="1"/>
  <c r="D30" i="1"/>
  <c r="D31" i="1"/>
  <c r="D32" i="1"/>
  <c r="D27" i="1"/>
  <c r="D33" i="1" s="1"/>
  <c r="D13" i="1" a="1"/>
  <c r="D13" i="1"/>
  <c r="D14" i="1" a="1"/>
  <c r="D14" i="1"/>
  <c r="D7" i="1"/>
  <c r="C18" i="1"/>
  <c r="D18" i="1" s="1" a="1"/>
  <c r="D18" i="1" s="1"/>
  <c r="C19" i="1"/>
  <c r="D19" i="1" s="1" a="1"/>
  <c r="D19" i="1" s="1"/>
  <c r="C20" i="1"/>
  <c r="D20" i="1" s="1" a="1"/>
  <c r="D20" i="1" s="1"/>
  <c r="C21" i="1"/>
  <c r="D21" i="1" s="1" a="1"/>
  <c r="D21" i="1" s="1"/>
  <c r="C17" i="1"/>
  <c r="D17" i="1" s="1" a="1"/>
  <c r="D1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<sst xmlns="http://schemas.openxmlformats.org/spreadsheetml/2006/main" count="69" uniqueCount="34">
  <si>
    <t>CONFIGURAÇÕES</t>
  </si>
  <si>
    <t>Salário</t>
  </si>
  <si>
    <t>Rendimento carteira</t>
  </si>
  <si>
    <t>Sugestão de investimento</t>
  </si>
  <si>
    <t>INVESTIMENTO MENSAL</t>
  </si>
  <si>
    <t>Quanto investir por mês?</t>
  </si>
  <si>
    <t>Por quantos anos?</t>
  </si>
  <si>
    <t>Taxa de investimento mensal?</t>
  </si>
  <si>
    <t>Patrimônio acumulado?</t>
  </si>
  <si>
    <t>Dividendos mensais?</t>
  </si>
  <si>
    <t>CENÁRIOS</t>
  </si>
  <si>
    <t>Dividendo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</si>
  <si>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</si>
  <si>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</si>
  <si>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</si>
  <si>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</si>
  <si>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</si>
  <si>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</si>
  <si>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</si>
  <si>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</si>
  <si>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</si>
  <si>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</si>
  <si>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</si>
  <si>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</si>
  <si>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</si>
  <si>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</si>
  <si>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</si>
  <si>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</si>
  <si>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</si>
  <si>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</si>
  <si>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PERFIL</t>
  </si>
  <si>
    <t>%</t>
  </si>
  <si>
    <t>CONSERVADOR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</si>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</sst>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b/>
      <sz val="14"/>
      <color rgb="FFFFFFFF"/>
      <name val="Calibri"/>
      <scheme val="minor"/>
    </font>
    <font>
      <sz val="11"/>
      <color theme="0"/>
      <name val="Calibri"/>
      <family val="2"/>
      <scheme val="minor"/>
    </font>
    <font>
      <sz val="14"/>
      <color rgb="FFFFFFFF"/>
      <name val="Calibri"/>
      <scheme val="minor"/>
    </font>
    <font>
      <sz val="11"/>
      <color rgb="FF9C5700"/>
      <name val="Calibri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DC1B4"/>
        <bgColor indexed="64"/>
      </patternFill>
    </fill>
    <fill>
      <patternFill patternType="solid">
        <fgColor rgb="FFFFEB9C"/>
      </patternFill>
    </fill>
    <fill>
      <patternFill patternType="solid">
        <fgColor rgb="FF0070C0"/>
        <bgColor indexed="64"/>
      </patternFill>
    </fill>
    <fill>
      <patternFill patternType="solid">
        <fgColor rgb="FFD3F5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/>
      <bottom/>
      <diagonal/>
    </border>
    <border>
      <left style="thin">
        <color rgb="FF6DC1B4"/>
      </left>
      <right/>
      <top/>
      <bottom/>
      <diagonal/>
    </border>
    <border>
      <left/>
      <right style="thin">
        <color rgb="FF6DC1B4"/>
      </right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5" fillId="5" borderId="0" applyNumberFormat="0" applyBorder="0" applyAlignment="0" applyProtection="0"/>
  </cellStyleXfs>
  <cellXfs count="41">
    <xf numFmtId="0" fontId="0" fillId="0" borderId="0" xfId="0"/>
    <xf numFmtId="10" fontId="0" fillId="0" borderId="1" xfId="0" applyNumberFormat="1" applyBorder="1"/>
    <xf numFmtId="164" fontId="0" fillId="0" borderId="1" xfId="0" applyNumberFormat="1" applyBorder="1"/>
    <xf numFmtId="1" fontId="0" fillId="0" borderId="1" xfId="0" applyNumberFormat="1" applyBorder="1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8" fontId="0" fillId="3" borderId="0" xfId="0" applyNumberFormat="1" applyFill="1"/>
    <xf numFmtId="164" fontId="0" fillId="0" borderId="3" xfId="0" applyNumberFormat="1" applyBorder="1"/>
    <xf numFmtId="10" fontId="0" fillId="0" borderId="3" xfId="0" applyNumberFormat="1" applyBorder="1"/>
    <xf numFmtId="0" fontId="0" fillId="0" borderId="0" xfId="0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left" vertical="center"/>
    </xf>
    <xf numFmtId="8" fontId="0" fillId="8" borderId="1" xfId="0" applyNumberFormat="1" applyFill="1" applyBorder="1"/>
    <xf numFmtId="0" fontId="4" fillId="4" borderId="0" xfId="0" applyFont="1" applyFill="1" applyBorder="1" applyAlignment="1">
      <alignment vertical="center"/>
    </xf>
    <xf numFmtId="0" fontId="7" fillId="3" borderId="0" xfId="0" applyFont="1" applyFill="1" applyAlignment="1">
      <alignment horizontal="left" indent="1"/>
    </xf>
    <xf numFmtId="0" fontId="6" fillId="3" borderId="0" xfId="0" applyFont="1" applyFill="1" applyAlignment="1">
      <alignment horizontal="left" indent="1"/>
    </xf>
    <xf numFmtId="0" fontId="5" fillId="5" borderId="0" xfId="1"/>
    <xf numFmtId="0" fontId="2" fillId="4" borderId="3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indent="1"/>
    </xf>
    <xf numFmtId="0" fontId="6" fillId="7" borderId="4" xfId="0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indent="1"/>
    </xf>
    <xf numFmtId="0" fontId="6" fillId="3" borderId="2" xfId="0" applyFont="1" applyFill="1" applyBorder="1" applyAlignment="1">
      <alignment horizontal="left" indent="1"/>
    </xf>
    <xf numFmtId="164" fontId="0" fillId="0" borderId="0" xfId="0" applyNumberFormat="1"/>
    <xf numFmtId="0" fontId="5" fillId="5" borderId="0" xfId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0" fontId="0" fillId="0" borderId="0" xfId="0" applyNumberFormat="1"/>
    <xf numFmtId="0" fontId="8" fillId="9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0" fillId="9" borderId="0" xfId="0" applyFill="1"/>
    <xf numFmtId="164" fontId="0" fillId="9" borderId="0" xfId="0" applyNumberFormat="1" applyFill="1"/>
    <xf numFmtId="9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10" borderId="0" xfId="0" applyFont="1" applyFill="1" applyAlignment="1">
      <alignment horizontal="center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Medium9"/>
  <colors>
    <mruColors>
      <color rgb="FFD3F5F0"/>
      <color rgb="FF95BFB9"/>
      <color rgb="FF6DC1B4"/>
      <color rgb="FF387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Planilha1!$B$27:$B$32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Planilha1!$C$27:$C$32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E-4EE5-8ED7-6808B948C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10</xdr:row>
      <xdr:rowOff>161925</xdr:rowOff>
    </xdr:from>
    <xdr:to>
      <xdr:col>7</xdr:col>
      <xdr:colOff>352425</xdr:colOff>
      <xdr:row>33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91DB13-F14D-1139-58EB-0BE61AC8A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showGridLines="0" tabSelected="1" workbookViewId="0">
      <selection activeCell="G8" sqref="G8"/>
    </sheetView>
  </sheetViews>
  <sheetFormatPr defaultColWidth="0" defaultRowHeight="15"/>
  <cols>
    <col min="1" max="1" width="9.140625" customWidth="1"/>
    <col min="2" max="3" width="30.7109375" customWidth="1"/>
    <col min="4" max="4" width="15.7109375" customWidth="1"/>
    <col min="5" max="5" width="9.140625" customWidth="1"/>
    <col min="6" max="6" width="30.7109375" style="9" customWidth="1"/>
    <col min="7" max="7" width="15.7109375" style="9" customWidth="1"/>
    <col min="8" max="8" width="9.140625" style="9" customWidth="1"/>
  </cols>
  <sheetData>
    <row r="1" spans="1:8" ht="30" customHeight="1">
      <c r="A1" s="11"/>
      <c r="B1" s="11"/>
      <c r="C1" s="11"/>
      <c r="D1" s="11"/>
      <c r="E1" s="11"/>
      <c r="F1" s="12"/>
      <c r="G1" s="12"/>
      <c r="H1" s="12"/>
    </row>
    <row r="2" spans="1:8" ht="30" customHeight="1">
      <c r="A2" s="11"/>
      <c r="B2" s="11"/>
      <c r="C2" s="11"/>
      <c r="D2" s="11"/>
      <c r="E2" s="11"/>
      <c r="F2" s="12"/>
      <c r="G2" s="12"/>
      <c r="H2" s="12"/>
    </row>
    <row r="4" spans="1:8" ht="30" customHeight="1">
      <c r="B4" s="18" t="s">
        <v>0</v>
      </c>
      <c r="C4" s="19"/>
      <c r="D4" s="14"/>
    </row>
    <row r="5" spans="1:8" ht="15.75">
      <c r="B5" s="20" t="s">
        <v>1</v>
      </c>
      <c r="C5" s="21"/>
      <c r="D5" s="7">
        <v>1000</v>
      </c>
    </row>
    <row r="6" spans="1:8" ht="15.75">
      <c r="B6" s="20" t="s">
        <v>2</v>
      </c>
      <c r="C6" s="21"/>
      <c r="D6" s="8">
        <v>8.8999999999999999E-3</v>
      </c>
    </row>
    <row r="7" spans="1:8" ht="15.75">
      <c r="B7" s="20" t="s">
        <v>3</v>
      </c>
      <c r="C7" s="21"/>
      <c r="D7" s="7">
        <f>D5*30%</f>
        <v>300</v>
      </c>
    </row>
    <row r="9" spans="1:8" ht="30" customHeight="1">
      <c r="B9" s="22" t="s">
        <v>4</v>
      </c>
      <c r="C9" s="23"/>
      <c r="D9" s="10"/>
    </row>
    <row r="10" spans="1:8" ht="15.75">
      <c r="B10" s="25" t="s">
        <v>5</v>
      </c>
      <c r="C10" s="26"/>
      <c r="D10" s="2">
        <v>300</v>
      </c>
    </row>
    <row r="11" spans="1:8" ht="15.75">
      <c r="B11" s="25" t="s">
        <v>6</v>
      </c>
      <c r="C11" s="26"/>
      <c r="D11" s="3">
        <v>5</v>
      </c>
    </row>
    <row r="12" spans="1:8" ht="15.75">
      <c r="B12" s="25" t="s">
        <v>7</v>
      </c>
      <c r="C12" s="26"/>
      <c r="D12" s="1">
        <v>1.0789999999999999E-2</v>
      </c>
    </row>
    <row r="13" spans="1:8" ht="15.75">
      <c r="B13" s="25" t="s">
        <v>8</v>
      </c>
      <c r="C13" s="26"/>
      <c r="D13" s="13" cm="1">
        <f t="array" ref="D13">FV(taxa_mensal,qtd_anos*12,aporte*-1)</f>
        <v>25133.074199546292</v>
      </c>
    </row>
    <row r="14" spans="1:8" ht="15.75">
      <c r="B14" s="25" t="s">
        <v>9</v>
      </c>
      <c r="C14" s="26"/>
      <c r="D14" s="13" cm="1">
        <f t="array" ref="D14">D13*rendimento_carteira</f>
        <v>223.684360375962</v>
      </c>
    </row>
    <row r="16" spans="1:8" ht="30" customHeight="1">
      <c r="B16" s="22" t="s">
        <v>10</v>
      </c>
      <c r="C16" s="24"/>
      <c r="D16" s="5" t="s">
        <v>11</v>
      </c>
    </row>
    <row r="17" spans="1:4" ht="15.75">
      <c r="A17" s="4">
        <v>2</v>
      </c>
      <c r="B17" s="15" t="s">
        <v>12</v>
      </c>
      <c r="C17" s="6">
        <f>FV($D$12,A17*12,$D$10*-1)</f>
        <v>8168.2881892935648</v>
      </c>
      <c r="D17" s="6" cm="1">
        <f t="array" ref="D17">C17*rendimento_carteira</f>
        <v>72.697764884712726</v>
      </c>
    </row>
    <row r="18" spans="1:4" ht="15.75">
      <c r="A18" s="4">
        <v>5</v>
      </c>
      <c r="B18" s="16" t="s">
        <v>13</v>
      </c>
      <c r="C18" s="6">
        <f>FV($D$12,A18*12,$D$10*-1)</f>
        <v>25133.074199546292</v>
      </c>
      <c r="D18" s="6" cm="1">
        <f t="array" ref="D18">C18*rendimento_carteira</f>
        <v>223.684360375962</v>
      </c>
    </row>
    <row r="19" spans="1:4" ht="15.75">
      <c r="A19" s="4">
        <v>10</v>
      </c>
      <c r="B19" s="16" t="s">
        <v>14</v>
      </c>
      <c r="C19" s="6">
        <f>FV($D$12,A19*12,$D$10*-1)</f>
        <v>72985.263759051653</v>
      </c>
      <c r="D19" s="6" cm="1">
        <f t="array" ref="D19">C19*rendimento_carteira</f>
        <v>649.56884745555976</v>
      </c>
    </row>
    <row r="20" spans="1:4" ht="15.75">
      <c r="A20" s="4">
        <v>20</v>
      </c>
      <c r="B20" s="16" t="s">
        <v>15</v>
      </c>
      <c r="C20" s="6">
        <f>FV($D$12,A20*12,$D$10*-1)</f>
        <v>337559.52002912416</v>
      </c>
      <c r="D20" s="6" cm="1">
        <f t="array" ref="D20">C20*rendimento_carteira</f>
        <v>3004.2797282592051</v>
      </c>
    </row>
    <row r="21" spans="1:4" ht="15.75">
      <c r="A21" s="4">
        <v>30</v>
      </c>
      <c r="B21" s="16" t="s">
        <v>16</v>
      </c>
      <c r="C21" s="6">
        <f>FV($D$12,A21*12,$D$10*-1)</f>
        <v>1296650.8965014142</v>
      </c>
      <c r="D21" s="6" cm="1">
        <f t="array" ref="D21">C21*rendimento_carteira</f>
        <v>11540.192978862588</v>
      </c>
    </row>
    <row r="23" spans="1:4">
      <c r="B23" s="17" t="s">
        <v>17</v>
      </c>
      <c r="C23" s="28" t="s">
        <v>18</v>
      </c>
      <c r="D23" s="17"/>
    </row>
    <row r="24" spans="1:4">
      <c r="B24" t="s">
        <v>19</v>
      </c>
      <c r="C24" s="29">
        <v>500</v>
      </c>
    </row>
    <row r="26" spans="1:4">
      <c r="B26" s="32" t="s">
        <v>20</v>
      </c>
      <c r="C26" s="32" t="s">
        <v>21</v>
      </c>
      <c r="D26" s="33" t="s">
        <v>22</v>
      </c>
    </row>
    <row r="27" spans="1:4">
      <c r="B27" s="30" t="s">
        <v>23</v>
      </c>
      <c r="C27" s="36">
        <f>VLOOKUP($C$23&amp;"-"&amp;B27,Planilha2!A:D,4,FALSE)</f>
        <v>0.32</v>
      </c>
      <c r="D27" s="27">
        <f>C27*$C$24</f>
        <v>160</v>
      </c>
    </row>
    <row r="28" spans="1:4">
      <c r="B28" s="30" t="s">
        <v>24</v>
      </c>
      <c r="C28" s="36">
        <f>VLOOKUP($C$23&amp;"-"&amp;B28,Planilha2!A:D,4,FALSE)</f>
        <v>0.35</v>
      </c>
      <c r="D28" s="27">
        <f t="shared" ref="D28:D32" si="0">C28*$C$24</f>
        <v>175</v>
      </c>
    </row>
    <row r="29" spans="1:4">
      <c r="B29" s="30" t="s">
        <v>25</v>
      </c>
      <c r="C29" s="36">
        <f>VLOOKUP($C$23&amp;"-"&amp;B29,Planilha2!A:D,4,FALSE)</f>
        <v>0.08</v>
      </c>
      <c r="D29" s="27">
        <f t="shared" si="0"/>
        <v>40</v>
      </c>
    </row>
    <row r="30" spans="1:4">
      <c r="B30" s="30" t="s">
        <v>26</v>
      </c>
      <c r="C30" s="36">
        <f>VLOOKUP($C$23&amp;"-"&amp;B30,Planilha2!A:D,4,FALSE)</f>
        <v>0.05</v>
      </c>
      <c r="D30" s="27">
        <f t="shared" si="0"/>
        <v>25</v>
      </c>
    </row>
    <row r="31" spans="1:4">
      <c r="B31" s="30" t="s">
        <v>27</v>
      </c>
      <c r="C31" s="36">
        <f>VLOOKUP($C$23&amp;"-"&amp;B31,Planilha2!A:D,4,FALSE)</f>
        <v>0.1</v>
      </c>
      <c r="D31" s="27">
        <f t="shared" si="0"/>
        <v>50</v>
      </c>
    </row>
    <row r="32" spans="1:4">
      <c r="B32" s="30" t="s">
        <v>28</v>
      </c>
      <c r="C32" s="36">
        <f>VLOOKUP($C$23&amp;"-"&amp;B32,Planilha2!A:D,4,FALSE)</f>
        <v>0.1</v>
      </c>
      <c r="D32" s="27">
        <f t="shared" si="0"/>
        <v>50</v>
      </c>
    </row>
    <row r="33" spans="2:4">
      <c r="B33" s="34"/>
      <c r="C33" s="34"/>
      <c r="D33" s="35">
        <f>SUM(D27:D32)</f>
        <v>500</v>
      </c>
    </row>
  </sheetData>
  <mergeCells count="11">
    <mergeCell ref="B16:C16"/>
    <mergeCell ref="B10:C10"/>
    <mergeCell ref="B11:C11"/>
    <mergeCell ref="B12:C12"/>
    <mergeCell ref="B13:C13"/>
    <mergeCell ref="B14:C14"/>
    <mergeCell ref="B4:C4"/>
    <mergeCell ref="B5:C5"/>
    <mergeCell ref="B6:C6"/>
    <mergeCell ref="B7:C7"/>
    <mergeCell ref="B9:C9"/>
  </mergeCells>
  <dataValidations count="1">
    <dataValidation type="list" allowBlank="1" showInputMessage="1" showErrorMessage="1" sqref="C23" xr:uid="{34A2C1DF-7994-4BA5-BAEE-29EE91A3CC19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3AE75-EC83-4C83-920D-61036D500029}">
  <dimension ref="A2:H21"/>
  <sheetViews>
    <sheetView showGridLines="0" workbookViewId="0">
      <selection activeCell="J13" sqref="J13"/>
    </sheetView>
  </sheetViews>
  <sheetFormatPr defaultRowHeight="15"/>
  <cols>
    <col min="1" max="1" width="32.85546875" bestFit="1" customWidth="1"/>
    <col min="2" max="3" width="18.7109375" bestFit="1" customWidth="1"/>
    <col min="7" max="7" width="9.140625" customWidth="1"/>
  </cols>
  <sheetData>
    <row r="2" spans="1:8">
      <c r="A2" s="40" t="s">
        <v>29</v>
      </c>
      <c r="B2" s="40" t="s">
        <v>30</v>
      </c>
      <c r="C2" s="40" t="s">
        <v>20</v>
      </c>
      <c r="D2" s="40" t="s">
        <v>31</v>
      </c>
    </row>
    <row r="3" spans="1:8">
      <c r="A3" s="30" t="str">
        <f>B3&amp;"-"&amp;C3</f>
        <v>CONSERVADOR-PAPEL</v>
      </c>
      <c r="B3" s="30" t="s">
        <v>32</v>
      </c>
      <c r="C3" s="30" t="s">
        <v>23</v>
      </c>
      <c r="D3" s="36">
        <v>0.3</v>
      </c>
    </row>
    <row r="4" spans="1:8">
      <c r="A4" s="30" t="str">
        <f t="shared" ref="A4:A20" si="0">B4&amp;"-"&amp;C4</f>
        <v>CONSERVADOR-TIJOLO</v>
      </c>
      <c r="B4" s="30" t="s">
        <v>32</v>
      </c>
      <c r="C4" s="30" t="s">
        <v>24</v>
      </c>
      <c r="D4" s="36">
        <v>0.5</v>
      </c>
      <c r="H4" s="31"/>
    </row>
    <row r="5" spans="1:8">
      <c r="A5" s="30" t="str">
        <f t="shared" si="0"/>
        <v>CONSERVADOR-HÍBRIDOS</v>
      </c>
      <c r="B5" s="30" t="s">
        <v>32</v>
      </c>
      <c r="C5" s="30" t="s">
        <v>25</v>
      </c>
      <c r="D5" s="36">
        <v>0.1</v>
      </c>
    </row>
    <row r="6" spans="1:8">
      <c r="A6" s="30" t="str">
        <f t="shared" si="0"/>
        <v>CONSERVADOR-FOFs</v>
      </c>
      <c r="B6" s="30" t="s">
        <v>32</v>
      </c>
      <c r="C6" s="30" t="s">
        <v>26</v>
      </c>
      <c r="D6" s="36">
        <v>0.1</v>
      </c>
    </row>
    <row r="7" spans="1:8">
      <c r="A7" s="30" t="str">
        <f t="shared" si="0"/>
        <v>CONSERVADOR-DESENVOLVIMENTO</v>
      </c>
      <c r="B7" s="30" t="s">
        <v>32</v>
      </c>
      <c r="C7" s="30" t="s">
        <v>27</v>
      </c>
      <c r="D7" s="36">
        <v>0</v>
      </c>
    </row>
    <row r="8" spans="1:8">
      <c r="A8" s="37" t="str">
        <f t="shared" si="0"/>
        <v>CONSERVADOR-HOTELARIAS</v>
      </c>
      <c r="B8" s="37" t="s">
        <v>32</v>
      </c>
      <c r="C8" s="37" t="s">
        <v>28</v>
      </c>
      <c r="D8" s="38">
        <v>0</v>
      </c>
    </row>
    <row r="9" spans="1:8">
      <c r="A9" s="39" t="str">
        <f t="shared" si="0"/>
        <v>MODERADO-PAPEL</v>
      </c>
      <c r="B9" s="30" t="s">
        <v>18</v>
      </c>
      <c r="C9" s="30" t="s">
        <v>23</v>
      </c>
      <c r="D9" s="36">
        <v>0.32</v>
      </c>
    </row>
    <row r="10" spans="1:8">
      <c r="A10" s="39" t="str">
        <f t="shared" si="0"/>
        <v>MODERADO-TIJOLO</v>
      </c>
      <c r="B10" s="30" t="s">
        <v>18</v>
      </c>
      <c r="C10" s="30" t="s">
        <v>24</v>
      </c>
      <c r="D10" s="36">
        <v>0.35</v>
      </c>
    </row>
    <row r="11" spans="1:8">
      <c r="A11" s="39" t="str">
        <f t="shared" si="0"/>
        <v>MODERADO-HÍBRIDOS</v>
      </c>
      <c r="B11" s="30" t="s">
        <v>18</v>
      </c>
      <c r="C11" s="30" t="s">
        <v>25</v>
      </c>
      <c r="D11" s="36">
        <v>0.08</v>
      </c>
    </row>
    <row r="12" spans="1:8">
      <c r="A12" s="39" t="str">
        <f t="shared" si="0"/>
        <v>MODERADO-FOFs</v>
      </c>
      <c r="B12" s="30" t="s">
        <v>18</v>
      </c>
      <c r="C12" s="30" t="s">
        <v>26</v>
      </c>
      <c r="D12" s="36">
        <v>0.05</v>
      </c>
    </row>
    <row r="13" spans="1:8">
      <c r="A13" s="39" t="str">
        <f t="shared" si="0"/>
        <v>MODERADO-DESENVOLVIMENTO</v>
      </c>
      <c r="B13" s="30" t="s">
        <v>18</v>
      </c>
      <c r="C13" s="30" t="s">
        <v>27</v>
      </c>
      <c r="D13" s="36">
        <v>0.1</v>
      </c>
    </row>
    <row r="14" spans="1:8">
      <c r="A14" s="37" t="str">
        <f t="shared" si="0"/>
        <v>MODERADO-HOTELARIAS</v>
      </c>
      <c r="B14" s="37" t="s">
        <v>18</v>
      </c>
      <c r="C14" s="37" t="s">
        <v>28</v>
      </c>
      <c r="D14" s="38">
        <v>0.1</v>
      </c>
    </row>
    <row r="15" spans="1:8">
      <c r="A15" s="39" t="str">
        <f t="shared" si="0"/>
        <v>AGRESSIVO-PAPEL</v>
      </c>
      <c r="B15" s="30" t="s">
        <v>33</v>
      </c>
      <c r="C15" s="30" t="s">
        <v>23</v>
      </c>
      <c r="D15" s="36">
        <v>0.5</v>
      </c>
    </row>
    <row r="16" spans="1:8">
      <c r="A16" s="39" t="str">
        <f t="shared" si="0"/>
        <v>AGRESSIVO-TIJOLO</v>
      </c>
      <c r="B16" s="30" t="s">
        <v>33</v>
      </c>
      <c r="C16" s="30" t="s">
        <v>24</v>
      </c>
      <c r="D16" s="36">
        <v>0.1</v>
      </c>
    </row>
    <row r="17" spans="1:4">
      <c r="A17" s="39" t="str">
        <f t="shared" si="0"/>
        <v>AGRESSIVO-HÍBRIDOS</v>
      </c>
      <c r="B17" s="30" t="s">
        <v>33</v>
      </c>
      <c r="C17" s="30" t="s">
        <v>25</v>
      </c>
      <c r="D17" s="36">
        <v>0.05</v>
      </c>
    </row>
    <row r="18" spans="1:4">
      <c r="A18" s="39" t="str">
        <f t="shared" si="0"/>
        <v>AGRESSIVO-FOFs</v>
      </c>
      <c r="B18" s="30" t="s">
        <v>33</v>
      </c>
      <c r="C18" s="30" t="s">
        <v>26</v>
      </c>
      <c r="D18" s="36">
        <v>0.05</v>
      </c>
    </row>
    <row r="19" spans="1:4">
      <c r="A19" s="39" t="str">
        <f t="shared" si="0"/>
        <v>AGRESSIVO-DESENVOLVIMENTO</v>
      </c>
      <c r="B19" s="30" t="s">
        <v>33</v>
      </c>
      <c r="C19" s="30" t="s">
        <v>27</v>
      </c>
      <c r="D19" s="36">
        <v>0.2</v>
      </c>
    </row>
    <row r="20" spans="1:4">
      <c r="A20" s="37" t="str">
        <f t="shared" si="0"/>
        <v>AGRESSIVO-HOTELARIAS</v>
      </c>
      <c r="B20" s="37" t="s">
        <v>33</v>
      </c>
      <c r="C20" s="37" t="s">
        <v>28</v>
      </c>
      <c r="D20" s="38">
        <v>0.1</v>
      </c>
    </row>
    <row r="21" spans="1:4">
      <c r="A21" s="30"/>
      <c r="B21" s="30"/>
      <c r="C21" s="30"/>
      <c r="D21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Lincoln Cesar Machado Jung</cp:lastModifiedBy>
  <cp:revision/>
  <dcterms:created xsi:type="dcterms:W3CDTF">2026-02-01T18:41:59Z</dcterms:created>
  <dcterms:modified xsi:type="dcterms:W3CDTF">2026-02-01T22:27:56Z</dcterms:modified>
  <cp:category/>
  <cp:contentStatus/>
</cp:coreProperties>
</file>